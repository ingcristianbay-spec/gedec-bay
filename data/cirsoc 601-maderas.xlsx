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an\Downloads\"/>
    </mc:Choice>
  </mc:AlternateContent>
  <xr:revisionPtr revIDLastSave="0" documentId="13_ncr:1_{5568EC43-A9D4-44BD-A412-B2460FD6D995}" xr6:coauthVersionLast="47" xr6:coauthVersionMax="47" xr10:uidLastSave="{00000000-0000-0000-0000-000000000000}"/>
  <bookViews>
    <workbookView xWindow="-108" yWindow="-108" windowWidth="23256" windowHeight="12576" xr2:uid="{E5CD5776-EC9E-4B1F-97C7-5C06D35493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7" i="1"/>
  <c r="B16" i="1"/>
  <c r="B15" i="1"/>
  <c r="B14" i="1"/>
  <c r="B13" i="1"/>
  <c r="B12" i="1"/>
  <c r="B11" i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<sst xmlns="http://schemas.openxmlformats.org/spreadsheetml/2006/main" count="66" uniqueCount="26">
  <si>
    <t>PROPIEDADES DE LA MADERA  - CIRSOC 601 - SUPLEMENTOS 1 Y 2</t>
  </si>
  <si>
    <t>DESIGNACIÓN</t>
  </si>
  <si>
    <t>CLASIF</t>
  </si>
  <si>
    <t>Fb</t>
  </si>
  <si>
    <t>Ft</t>
  </si>
  <si>
    <t>Fv</t>
  </si>
  <si>
    <t>FcP</t>
  </si>
  <si>
    <t>Fc</t>
  </si>
  <si>
    <t>E</t>
  </si>
  <si>
    <t>E0.05</t>
  </si>
  <si>
    <t>Emin</t>
  </si>
  <si>
    <t>N/mm2</t>
  </si>
  <si>
    <t>kg/m3</t>
  </si>
  <si>
    <t>madera aserrada</t>
  </si>
  <si>
    <t>Pino Parana</t>
  </si>
  <si>
    <t>CLASE 1</t>
  </si>
  <si>
    <t>CLASE 2</t>
  </si>
  <si>
    <t>CLASE 3</t>
  </si>
  <si>
    <t>EUCALIPTUS Grandis</t>
  </si>
  <si>
    <t>Pino ellioti/taeda</t>
  </si>
  <si>
    <t>madera laminada</t>
  </si>
  <si>
    <t>GRADO 1</t>
  </si>
  <si>
    <t>GRADO 2</t>
  </si>
  <si>
    <t>DESCRIPCION</t>
  </si>
  <si>
    <t>Valores de diseño de referencia para tablas de Araucaria
angustifolia (Bert.) O. Kuntze (pino paraná) clasificadas por resistencia conforme a la
norma IRAM 9662-1 (2015) (N / mm2)</t>
  </si>
  <si>
    <t>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</si>
</sst>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right" vertical="center" inden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3A99F-C780-4442-BAE1-5D0F845BF07C}">
  <dimension ref="A1:N18"/>
  <sheetViews>
    <sheetView tabSelected="1" workbookViewId="0">
      <selection activeCell="M4" sqref="M4"/>
    </sheetView>
  </sheetViews>
  <sheetFormatPr baseColWidth="10" defaultRowHeight="14.4" x14ac:dyDescent="0.3"/>
  <cols>
    <col min="2" max="2" width="35" bestFit="1" customWidth="1"/>
    <col min="3" max="3" width="20.21875" bestFit="1" customWidth="1"/>
  </cols>
  <sheetData>
    <row r="1" spans="1:14" ht="18.600000000000001" thickBot="1" x14ac:dyDescent="0.35">
      <c r="A1" s="1"/>
      <c r="B1" s="1"/>
      <c r="C1" s="11" t="s">
        <v>0</v>
      </c>
      <c r="D1" s="12"/>
      <c r="E1" s="12"/>
      <c r="F1" s="12"/>
      <c r="G1" s="12"/>
      <c r="H1" s="12"/>
      <c r="I1" s="12"/>
      <c r="J1" s="12"/>
      <c r="K1" s="12"/>
      <c r="L1" s="12"/>
      <c r="M1" s="13"/>
    </row>
    <row r="2" spans="1:14" ht="15" thickBo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4" ht="15.6" x14ac:dyDescent="0.3">
      <c r="A3" s="1"/>
      <c r="B3" s="1"/>
      <c r="C3" s="15" t="s">
        <v>1</v>
      </c>
      <c r="D3" s="17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3" t="s">
        <v>25</v>
      </c>
      <c r="N3" s="14" t="s">
        <v>23</v>
      </c>
    </row>
    <row r="4" spans="1:14" x14ac:dyDescent="0.3">
      <c r="A4" s="1"/>
      <c r="B4" s="1"/>
      <c r="C4" s="16"/>
      <c r="D4" s="18"/>
      <c r="E4" s="4" t="s">
        <v>11</v>
      </c>
      <c r="F4" s="4" t="s">
        <v>11</v>
      </c>
      <c r="G4" s="4" t="s">
        <v>11</v>
      </c>
      <c r="H4" s="4" t="s">
        <v>11</v>
      </c>
      <c r="I4" s="4" t="s">
        <v>11</v>
      </c>
      <c r="J4" s="4" t="s">
        <v>11</v>
      </c>
      <c r="K4" s="4" t="s">
        <v>11</v>
      </c>
      <c r="L4" s="4" t="s">
        <v>11</v>
      </c>
      <c r="M4" s="5" t="s">
        <v>12</v>
      </c>
    </row>
    <row r="5" spans="1:14" x14ac:dyDescent="0.3">
      <c r="A5" s="19" t="s">
        <v>13</v>
      </c>
      <c r="B5" s="6" t="str">
        <f t="shared" ref="B5:B12" si="0">+CONCATENATE(C5," ",D5," ASERRADA")</f>
        <v>Pino Parana CLASE 1 ASERRADA</v>
      </c>
      <c r="C5" s="7" t="s">
        <v>14</v>
      </c>
      <c r="D5" s="8" t="s">
        <v>15</v>
      </c>
      <c r="E5" s="9">
        <v>10.6</v>
      </c>
      <c r="F5" s="9">
        <v>6.3</v>
      </c>
      <c r="G5" s="9">
        <v>1.1000000000000001</v>
      </c>
      <c r="H5" s="9">
        <v>1</v>
      </c>
      <c r="I5" s="9">
        <v>7.5</v>
      </c>
      <c r="J5" s="10">
        <v>13300</v>
      </c>
      <c r="K5" s="10">
        <v>8900</v>
      </c>
      <c r="L5" s="10">
        <v>5700</v>
      </c>
      <c r="M5" s="10">
        <v>440</v>
      </c>
      <c r="N5" t="s">
        <v>24</v>
      </c>
    </row>
    <row r="6" spans="1:14" x14ac:dyDescent="0.3">
      <c r="A6" s="19"/>
      <c r="B6" s="6" t="str">
        <f t="shared" si="0"/>
        <v>Pino Parana CLASE 2 ASERRADA</v>
      </c>
      <c r="C6" s="7" t="s">
        <v>14</v>
      </c>
      <c r="D6" s="8" t="s">
        <v>16</v>
      </c>
      <c r="E6" s="9">
        <v>6.6</v>
      </c>
      <c r="F6" s="9">
        <v>4.0999999999999996</v>
      </c>
      <c r="G6" s="9">
        <v>0.7</v>
      </c>
      <c r="H6" s="9">
        <v>0.8</v>
      </c>
      <c r="I6" s="9">
        <v>6.3</v>
      </c>
      <c r="J6" s="10">
        <v>11400</v>
      </c>
      <c r="K6" s="10">
        <v>7700</v>
      </c>
      <c r="L6" s="10">
        <v>4900</v>
      </c>
      <c r="M6" s="10">
        <v>390</v>
      </c>
      <c r="N6" t="s">
        <v>24</v>
      </c>
    </row>
    <row r="7" spans="1:14" x14ac:dyDescent="0.3">
      <c r="A7" s="19"/>
      <c r="B7" s="6" t="str">
        <f t="shared" si="0"/>
        <v>Pino Parana CLASE 3 ASERRADA</v>
      </c>
      <c r="C7" s="7" t="s">
        <v>14</v>
      </c>
      <c r="D7" s="8" t="s">
        <v>17</v>
      </c>
      <c r="E7" s="9">
        <v>5</v>
      </c>
      <c r="F7" s="9">
        <v>3.1</v>
      </c>
      <c r="G7" s="9">
        <v>0.6</v>
      </c>
      <c r="H7" s="9">
        <v>0.8</v>
      </c>
      <c r="I7" s="9">
        <v>5.3</v>
      </c>
      <c r="J7" s="10">
        <v>10000</v>
      </c>
      <c r="K7" s="10">
        <v>6700</v>
      </c>
      <c r="L7" s="10">
        <v>4200</v>
      </c>
      <c r="M7" s="10">
        <v>390</v>
      </c>
      <c r="N7" t="s">
        <v>24</v>
      </c>
    </row>
    <row r="8" spans="1:14" x14ac:dyDescent="0.3">
      <c r="A8" s="19"/>
      <c r="B8" s="6" t="str">
        <f t="shared" si="0"/>
        <v>EUCALIPTUS Grandis CLASE 1 ASERRADA</v>
      </c>
      <c r="C8" s="7" t="s">
        <v>18</v>
      </c>
      <c r="D8" s="8" t="s">
        <v>15</v>
      </c>
      <c r="E8" s="9">
        <v>9.4</v>
      </c>
      <c r="F8" s="9">
        <v>5.6</v>
      </c>
      <c r="G8" s="9">
        <v>0.9</v>
      </c>
      <c r="H8" s="9">
        <v>1.8</v>
      </c>
      <c r="I8" s="9">
        <v>7.2</v>
      </c>
      <c r="J8" s="10">
        <v>12000</v>
      </c>
      <c r="K8" s="10">
        <v>8100</v>
      </c>
      <c r="L8" s="10">
        <v>5100</v>
      </c>
      <c r="M8" s="10">
        <v>430</v>
      </c>
      <c r="N8" t="s">
        <v>24</v>
      </c>
    </row>
    <row r="9" spans="1:14" x14ac:dyDescent="0.3">
      <c r="A9" s="19"/>
      <c r="B9" s="6" t="str">
        <f t="shared" si="0"/>
        <v>EUCALIPTUS Grandis CLASE 2 ASERRADA</v>
      </c>
      <c r="C9" s="7" t="s">
        <v>18</v>
      </c>
      <c r="D9" s="8" t="s">
        <v>16</v>
      </c>
      <c r="E9" s="9">
        <v>7.5</v>
      </c>
      <c r="F9" s="9">
        <v>4.4000000000000004</v>
      </c>
      <c r="G9" s="9">
        <v>0.8</v>
      </c>
      <c r="H9" s="9">
        <v>1.7</v>
      </c>
      <c r="I9" s="9">
        <v>6.6</v>
      </c>
      <c r="J9" s="10">
        <v>10800</v>
      </c>
      <c r="K9" s="10">
        <v>7200</v>
      </c>
      <c r="L9" s="10">
        <v>4600</v>
      </c>
      <c r="M9" s="10">
        <v>430</v>
      </c>
      <c r="N9" t="s">
        <v>24</v>
      </c>
    </row>
    <row r="10" spans="1:14" x14ac:dyDescent="0.3">
      <c r="A10" s="19"/>
      <c r="B10" s="6" t="str">
        <f t="shared" si="0"/>
        <v>EUCALIPTUS Grandis CLASE 3 ASERRADA</v>
      </c>
      <c r="C10" s="7" t="s">
        <v>18</v>
      </c>
      <c r="D10" s="8" t="s">
        <v>17</v>
      </c>
      <c r="E10" s="9">
        <v>5.6</v>
      </c>
      <c r="F10" s="9">
        <v>3.4</v>
      </c>
      <c r="G10" s="9">
        <v>0.6</v>
      </c>
      <c r="H10" s="9">
        <v>1.5</v>
      </c>
      <c r="I10" s="9">
        <v>5.6</v>
      </c>
      <c r="J10" s="10">
        <v>10000</v>
      </c>
      <c r="K10" s="10">
        <v>6700</v>
      </c>
      <c r="L10" s="10">
        <v>5100</v>
      </c>
      <c r="M10" s="10">
        <v>430</v>
      </c>
      <c r="N10" t="s">
        <v>24</v>
      </c>
    </row>
    <row r="11" spans="1:14" x14ac:dyDescent="0.3">
      <c r="A11" s="19"/>
      <c r="B11" s="6" t="str">
        <f t="shared" si="0"/>
        <v>Pino ellioti/taeda CLASE 1 ASERRADA</v>
      </c>
      <c r="C11" s="7" t="s">
        <v>19</v>
      </c>
      <c r="D11" s="8" t="s">
        <v>15</v>
      </c>
      <c r="E11" s="9">
        <v>6.2</v>
      </c>
      <c r="F11" s="9">
        <v>3.7</v>
      </c>
      <c r="G11" s="9">
        <v>0.7</v>
      </c>
      <c r="H11" s="9">
        <v>0.9</v>
      </c>
      <c r="I11" s="9">
        <v>6</v>
      </c>
      <c r="J11" s="10">
        <v>7700</v>
      </c>
      <c r="K11" s="10">
        <v>5200</v>
      </c>
      <c r="L11" s="10">
        <v>3300</v>
      </c>
      <c r="M11" s="10">
        <v>420</v>
      </c>
      <c r="N11" t="s">
        <v>24</v>
      </c>
    </row>
    <row r="12" spans="1:14" x14ac:dyDescent="0.3">
      <c r="A12" s="19"/>
      <c r="B12" s="6" t="str">
        <f t="shared" si="0"/>
        <v>Pino ellioti/taeda CLASE 2 ASERRADA</v>
      </c>
      <c r="C12" s="7" t="s">
        <v>19</v>
      </c>
      <c r="D12" s="8" t="s">
        <v>16</v>
      </c>
      <c r="E12" s="9">
        <v>3.2</v>
      </c>
      <c r="F12" s="9">
        <v>1.9</v>
      </c>
      <c r="G12" s="9">
        <v>0.4</v>
      </c>
      <c r="H12" s="9">
        <v>0.8</v>
      </c>
      <c r="I12" s="9">
        <v>4.5</v>
      </c>
      <c r="J12" s="10">
        <v>6500</v>
      </c>
      <c r="K12" s="10">
        <v>4300</v>
      </c>
      <c r="L12" s="10">
        <v>2700</v>
      </c>
      <c r="M12" s="10">
        <v>390</v>
      </c>
      <c r="N12" t="s">
        <v>24</v>
      </c>
    </row>
    <row r="13" spans="1:14" x14ac:dyDescent="0.3">
      <c r="A13" s="19" t="s">
        <v>20</v>
      </c>
      <c r="B13" s="6" t="str">
        <f t="shared" ref="B13:B18" si="1">+CONCATENATE(C13," ",D13," LAMINADA")</f>
        <v>Pino ellioti/taeda GRADO 1 LAMINADA</v>
      </c>
      <c r="C13" s="7" t="s">
        <v>19</v>
      </c>
      <c r="D13" s="8" t="s">
        <v>21</v>
      </c>
      <c r="E13" s="9">
        <v>6.3</v>
      </c>
      <c r="F13" s="9">
        <v>3.5</v>
      </c>
      <c r="G13" s="9">
        <v>0.7</v>
      </c>
      <c r="H13" s="9">
        <v>0.9</v>
      </c>
      <c r="I13" s="9">
        <v>6.3</v>
      </c>
      <c r="J13" s="10">
        <v>11200</v>
      </c>
      <c r="K13" s="10">
        <v>7500</v>
      </c>
      <c r="L13" s="10">
        <v>4700</v>
      </c>
      <c r="M13" s="10">
        <v>460</v>
      </c>
      <c r="N13" t="s">
        <v>24</v>
      </c>
    </row>
    <row r="14" spans="1:14" x14ac:dyDescent="0.3">
      <c r="A14" s="19"/>
      <c r="B14" s="6" t="str">
        <f t="shared" si="1"/>
        <v>Pino ellioti/taeda GRADO 2 LAMINADA</v>
      </c>
      <c r="C14" s="7" t="s">
        <v>19</v>
      </c>
      <c r="D14" s="8" t="s">
        <v>22</v>
      </c>
      <c r="E14" s="9">
        <v>4.0999999999999996</v>
      </c>
      <c r="F14" s="9">
        <v>2.2999999999999998</v>
      </c>
      <c r="G14" s="9">
        <v>0.4</v>
      </c>
      <c r="H14" s="9">
        <v>0.8</v>
      </c>
      <c r="I14" s="9">
        <v>4.0999999999999996</v>
      </c>
      <c r="J14" s="10">
        <v>6700</v>
      </c>
      <c r="K14" s="10">
        <v>4500</v>
      </c>
      <c r="L14" s="10">
        <v>2800</v>
      </c>
      <c r="M14" s="10">
        <v>400</v>
      </c>
      <c r="N14" t="s">
        <v>24</v>
      </c>
    </row>
    <row r="15" spans="1:14" x14ac:dyDescent="0.3">
      <c r="A15" s="19"/>
      <c r="B15" s="6" t="str">
        <f t="shared" si="1"/>
        <v>Pino Parana GRADO 1 LAMINADA</v>
      </c>
      <c r="C15" s="7" t="s">
        <v>14</v>
      </c>
      <c r="D15" s="8" t="s">
        <v>21</v>
      </c>
      <c r="E15" s="9">
        <v>7.5</v>
      </c>
      <c r="F15" s="9">
        <v>4.0999999999999996</v>
      </c>
      <c r="G15" s="9">
        <v>0.8</v>
      </c>
      <c r="H15" s="9">
        <v>1</v>
      </c>
      <c r="I15" s="9">
        <v>7.5</v>
      </c>
      <c r="J15" s="10">
        <v>13400</v>
      </c>
      <c r="K15" s="10">
        <v>9000</v>
      </c>
      <c r="L15" s="10">
        <v>5700</v>
      </c>
      <c r="M15" s="10">
        <v>430</v>
      </c>
      <c r="N15" t="s">
        <v>24</v>
      </c>
    </row>
    <row r="16" spans="1:14" x14ac:dyDescent="0.3">
      <c r="A16" s="19"/>
      <c r="B16" s="6" t="str">
        <f t="shared" si="1"/>
        <v>Pino Parana GRADO 2 LAMINADA</v>
      </c>
      <c r="C16" s="7" t="s">
        <v>14</v>
      </c>
      <c r="D16" s="8" t="s">
        <v>22</v>
      </c>
      <c r="E16" s="9">
        <v>6.3</v>
      </c>
      <c r="F16" s="9">
        <v>3.5</v>
      </c>
      <c r="G16" s="9">
        <v>0.7</v>
      </c>
      <c r="H16" s="9">
        <v>0.9</v>
      </c>
      <c r="I16" s="9">
        <v>6.3</v>
      </c>
      <c r="J16" s="10">
        <v>11600</v>
      </c>
      <c r="K16" s="10">
        <v>7800</v>
      </c>
      <c r="L16" s="10">
        <v>4900</v>
      </c>
      <c r="M16" s="10">
        <v>430</v>
      </c>
      <c r="N16" t="s">
        <v>24</v>
      </c>
    </row>
    <row r="17" spans="1:14" x14ac:dyDescent="0.3">
      <c r="A17" s="19"/>
      <c r="B17" s="6" t="str">
        <f t="shared" si="1"/>
        <v>EUCALIPTUS Grandis GRADO 1 LAMINADA</v>
      </c>
      <c r="C17" s="7" t="s">
        <v>18</v>
      </c>
      <c r="D17" s="8" t="s">
        <v>21</v>
      </c>
      <c r="E17" s="9">
        <v>7.5</v>
      </c>
      <c r="F17" s="9">
        <v>4.0999999999999996</v>
      </c>
      <c r="G17" s="9">
        <v>0.8</v>
      </c>
      <c r="H17" s="9">
        <v>1.8</v>
      </c>
      <c r="I17" s="9">
        <v>7.5</v>
      </c>
      <c r="J17" s="10">
        <v>13400</v>
      </c>
      <c r="K17" s="10">
        <v>9000</v>
      </c>
      <c r="L17" s="10">
        <v>5700</v>
      </c>
      <c r="M17" s="10">
        <v>420</v>
      </c>
      <c r="N17" t="s">
        <v>24</v>
      </c>
    </row>
    <row r="18" spans="1:14" x14ac:dyDescent="0.3">
      <c r="A18" s="19"/>
      <c r="B18" s="6" t="str">
        <f t="shared" si="1"/>
        <v>EUCALIPTUS Grandis GRADO 2 LAMINADA</v>
      </c>
      <c r="C18" s="7" t="s">
        <v>18</v>
      </c>
      <c r="D18" s="8" t="s">
        <v>22</v>
      </c>
      <c r="E18" s="9">
        <v>6.6</v>
      </c>
      <c r="F18" s="9">
        <v>3.7</v>
      </c>
      <c r="G18" s="9">
        <v>0.8</v>
      </c>
      <c r="H18" s="9">
        <v>1.7</v>
      </c>
      <c r="I18" s="9">
        <v>6.6</v>
      </c>
      <c r="J18" s="10">
        <v>11600</v>
      </c>
      <c r="K18" s="10">
        <v>7800</v>
      </c>
      <c r="L18" s="10">
        <v>4900</v>
      </c>
      <c r="M18" s="10">
        <v>390</v>
      </c>
      <c r="N18" t="s">
        <v>24</v>
      </c>
    </row>
  </sheetData>
  <mergeCells count="4">
    <mergeCell ref="C3:C4"/>
    <mergeCell ref="D3:D4"/>
    <mergeCell ref="A5:A12"/>
    <mergeCell ref="A13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Bay</dc:creator>
  <cp:lastModifiedBy>Cristian Bay</cp:lastModifiedBy>
  <dcterms:created xsi:type="dcterms:W3CDTF">2025-10-18T10:46:40Z</dcterms:created>
  <dcterms:modified xsi:type="dcterms:W3CDTF">2025-12-02T21:58:44Z</dcterms:modified>
</cp:coreProperties>
</file>